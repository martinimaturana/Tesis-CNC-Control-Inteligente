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8_{32C7B827-E498-4BBB-95AE-7AA939EB30F2}" xr6:coauthVersionLast="47" xr6:coauthVersionMax="47" xr10:uidLastSave="{00000000-0000-0000-0000-000000000000}"/>
  <bookViews>
    <workbookView xWindow="-120" yWindow="-120" windowWidth="29040" windowHeight="15720" xr2:uid="{749FBC87-2535-4C6E-83C5-E4BDF3910E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5" i="1" l="1"/>
  <c r="I34" i="1"/>
  <c r="I37" i="1" s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</calcChain>
</file>

<file path=xl/sharedStrings.xml><?xml version="1.0" encoding="utf-8"?>
<sst xmlns="http://schemas.openxmlformats.org/spreadsheetml/2006/main" count="35" uniqueCount="35">
  <si>
    <t>Componentes CNC</t>
  </si>
  <si>
    <t>N°</t>
  </si>
  <si>
    <t>Componente</t>
  </si>
  <si>
    <t>Cantidad</t>
  </si>
  <si>
    <t>Precio Unitario</t>
  </si>
  <si>
    <t>Total</t>
  </si>
  <si>
    <t>Motor Paso a paso Nema17 17HS3401S</t>
  </si>
  <si>
    <t>ESP32 Devkit V1 30 Pines</t>
  </si>
  <si>
    <t>Correa dentada GT2-6 100mm</t>
  </si>
  <si>
    <t>Cables dupont macho macho</t>
  </si>
  <si>
    <t>Cables dupont macho hemnbra</t>
  </si>
  <si>
    <t>Cables dupont hembra hembra</t>
  </si>
  <si>
    <t>Encoder magnetico AS5600</t>
  </si>
  <si>
    <t>Perfil aluminio 40x20x700</t>
  </si>
  <si>
    <t>Perfil aluminio 40x40x35</t>
  </si>
  <si>
    <t>Kit Actuador C-Beam XL 1000</t>
  </si>
  <si>
    <t>1kg Filamento PLA+ ENDER NEGRO</t>
  </si>
  <si>
    <t>Polea dentada GT2-20</t>
  </si>
  <si>
    <t>Cables dupont 4 pines hembra hembra 70 cm</t>
  </si>
  <si>
    <t>Cables dupont 3 pines hembra hembra 70 cm</t>
  </si>
  <si>
    <t>Riel lineal T-type 100mm</t>
  </si>
  <si>
    <t>Placa ranura V-Slot 20-80mm</t>
  </si>
  <si>
    <t>Repartidor Bipolar 125a 7 Polos</t>
  </si>
  <si>
    <t>Driver TTB6600</t>
  </si>
  <si>
    <t>INA219</t>
  </si>
  <si>
    <t>Fuente de Poder Mean Well LRS-350-24 – 350W 24VDC 14.6A</t>
  </si>
  <si>
    <t>Raspberry pi 4 Model B 4GB RAM</t>
  </si>
  <si>
    <t>Riel Din Perforado 35X7,5Mm Tira 1Mts</t>
  </si>
  <si>
    <t>Canaleta ranurada W20XH30 2m Gris</t>
  </si>
  <si>
    <t>Interruptor automático 1X16A</t>
  </si>
  <si>
    <t>Módulo XL4016 300W 9A Step Down | Fuente CV/CC Ajustable</t>
  </si>
  <si>
    <t>Mini protoboard 170 puntos</t>
  </si>
  <si>
    <t>Tarjeta de Expansión con Borneras para ESP32 Versión 30 Pines</t>
  </si>
  <si>
    <t>Pizarra Blanca 600x900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</si>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</sst>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8">
    <xf numFmtId="0" fontId="0" fillId="0" borderId="0" xfId="0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42" fontId="0" fillId="0" borderId="7" xfId="1" applyFont="1" applyBorder="1" applyAlignment="1">
      <alignment horizontal="center"/>
    </xf>
    <xf numFmtId="42" fontId="0" fillId="0" borderId="7" xfId="1" applyFont="1" applyBorder="1"/>
    <xf numFmtId="0" fontId="2" fillId="4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42" fontId="0" fillId="0" borderId="9" xfId="1" applyFont="1" applyBorder="1" applyAlignment="1">
      <alignment horizontal="center"/>
    </xf>
    <xf numFmtId="0" fontId="2" fillId="5" borderId="10" xfId="0" applyFont="1" applyFill="1" applyBorder="1" applyAlignment="1">
      <alignment horizontal="center" vertical="center"/>
    </xf>
    <xf numFmtId="42" fontId="2" fillId="5" borderId="1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left"/>
    </xf>
  </cellXfs>
  <cellStyles count="2">
    <cellStyle name="Moneda [0]" xfId="1" builtinId="7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5F3D16-188F-45B0-993D-B35C499DB3B4}" name="Tabla15" displayName="Tabla15" ref="E7:I35" totalsRowShown="0" headerRowDxfId="8" headerRowBorderDxfId="7" tableBorderDxfId="6" totalsRowBorderDxfId="5">
  <autoFilter ref="E7:I35" xr:uid="{2E5F3D16-188F-45B0-993D-B35C499DB3B4}"/>
  <tableColumns count="5">
    <tableColumn id="1" xr3:uid="{FBF6F6DC-0424-4CCF-AA7F-4E47DCEF4655}" name="N°" dataDxfId="2"/>
    <tableColumn id="2" xr3:uid="{F2330168-3F7E-48F1-9683-9C794BF0E284}" name="Componente" dataDxfId="0"/>
    <tableColumn id="3" xr3:uid="{A8D48C1F-6B8B-4F55-82E4-55798A86A2D4}" name="Cantidad" dataDxfId="1"/>
    <tableColumn id="4" xr3:uid="{03A23764-613C-48AF-97D3-45D864283A87}" name="Precio Unitario" dataDxfId="4" dataCellStyle="Moneda [0]"/>
    <tableColumn id="5" xr3:uid="{4320D5EE-A18C-4962-B2EB-E3EBF5F01BE4}" name="Total" dataDxfId="3" dataCellStyle="Moneda [0]">
      <calculatedColumnFormula>Tabla15[[#This Row],[Cantidad]]*Tabla15[[#This Row],[Precio Unitario]]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48B0-C373-4FC6-8E5B-955A16A1BFF5}">
  <dimension ref="E4:I37"/>
  <sheetViews>
    <sheetView showGridLines="0" tabSelected="1" topLeftCell="A4" workbookViewId="0">
      <selection activeCell="M19" sqref="M19"/>
    </sheetView>
  </sheetViews>
  <sheetFormatPr baseColWidth="10" defaultRowHeight="15" x14ac:dyDescent="0.25"/>
  <cols>
    <col min="5" max="5" width="8" customWidth="1"/>
    <col min="6" max="6" width="58.28515625" bestFit="1" customWidth="1"/>
    <col min="7" max="7" width="11.28515625" customWidth="1"/>
    <col min="8" max="8" width="18.7109375" bestFit="1" customWidth="1"/>
    <col min="9" max="9" width="10" bestFit="1" customWidth="1"/>
  </cols>
  <sheetData>
    <row r="4" spans="5:9" ht="15.75" thickBot="1" x14ac:dyDescent="0.3"/>
    <row r="5" spans="5:9" ht="15.75" thickBot="1" x14ac:dyDescent="0.3">
      <c r="E5" s="13" t="s">
        <v>0</v>
      </c>
      <c r="F5" s="14"/>
      <c r="G5" s="14"/>
      <c r="H5" s="14"/>
      <c r="I5" s="15"/>
    </row>
    <row r="7" spans="5:9" x14ac:dyDescent="0.25">
      <c r="E7" s="1" t="s">
        <v>1</v>
      </c>
      <c r="F7" s="2" t="s">
        <v>2</v>
      </c>
      <c r="G7" s="3" t="s">
        <v>3</v>
      </c>
      <c r="H7" s="3" t="s">
        <v>4</v>
      </c>
      <c r="I7" s="3" t="s">
        <v>5</v>
      </c>
    </row>
    <row r="8" spans="5:9" x14ac:dyDescent="0.25">
      <c r="E8" s="4">
        <v>1</v>
      </c>
      <c r="F8" s="16" t="s">
        <v>6</v>
      </c>
      <c r="G8" s="5">
        <v>1</v>
      </c>
      <c r="H8" s="6">
        <v>12000</v>
      </c>
      <c r="I8" s="7">
        <f>Tabla15[[#This Row],[Cantidad]]*Tabla15[[#This Row],[Precio Unitario]]</f>
        <v>12000</v>
      </c>
    </row>
    <row r="9" spans="5:9" x14ac:dyDescent="0.25">
      <c r="E9" s="4">
        <v>2</v>
      </c>
      <c r="F9" s="16" t="s">
        <v>7</v>
      </c>
      <c r="G9" s="5">
        <v>1</v>
      </c>
      <c r="H9" s="6">
        <v>8000</v>
      </c>
      <c r="I9" s="7">
        <f>Tabla15[[#This Row],[Cantidad]]*Tabla15[[#This Row],[Precio Unitario]]</f>
        <v>8000</v>
      </c>
    </row>
    <row r="10" spans="5:9" x14ac:dyDescent="0.25">
      <c r="E10" s="4">
        <v>3</v>
      </c>
      <c r="F10" s="16" t="s">
        <v>8</v>
      </c>
      <c r="G10" s="5">
        <v>2</v>
      </c>
      <c r="H10" s="6">
        <v>1000</v>
      </c>
      <c r="I10" s="7">
        <f>Tabla15[[#This Row],[Cantidad]]*Tabla15[[#This Row],[Precio Unitario]]</f>
        <v>2000</v>
      </c>
    </row>
    <row r="11" spans="5:9" x14ac:dyDescent="0.25">
      <c r="E11" s="4">
        <v>4</v>
      </c>
      <c r="F11" s="16" t="s">
        <v>9</v>
      </c>
      <c r="G11" s="5">
        <v>40</v>
      </c>
      <c r="H11" s="6">
        <v>30</v>
      </c>
      <c r="I11" s="7">
        <f>Tabla15[[#This Row],[Cantidad]]*Tabla15[[#This Row],[Precio Unitario]]</f>
        <v>1200</v>
      </c>
    </row>
    <row r="12" spans="5:9" x14ac:dyDescent="0.25">
      <c r="E12" s="4">
        <v>5</v>
      </c>
      <c r="F12" s="16" t="s">
        <v>10</v>
      </c>
      <c r="G12" s="5">
        <v>40</v>
      </c>
      <c r="H12" s="6">
        <v>30</v>
      </c>
      <c r="I12" s="7">
        <f>Tabla15[[#This Row],[Cantidad]]*Tabla15[[#This Row],[Precio Unitario]]</f>
        <v>1200</v>
      </c>
    </row>
    <row r="13" spans="5:9" x14ac:dyDescent="0.25">
      <c r="E13" s="4">
        <v>6</v>
      </c>
      <c r="F13" s="16" t="s">
        <v>11</v>
      </c>
      <c r="G13" s="5">
        <v>40</v>
      </c>
      <c r="H13" s="6">
        <v>30</v>
      </c>
      <c r="I13" s="7">
        <f>Tabla15[[#This Row],[Cantidad]]*Tabla15[[#This Row],[Precio Unitario]]</f>
        <v>1200</v>
      </c>
    </row>
    <row r="14" spans="5:9" x14ac:dyDescent="0.25">
      <c r="E14" s="4">
        <v>7</v>
      </c>
      <c r="F14" s="16" t="s">
        <v>12</v>
      </c>
      <c r="G14" s="5">
        <v>3</v>
      </c>
      <c r="H14" s="6">
        <v>1982.25</v>
      </c>
      <c r="I14" s="7">
        <f>Tabla15[[#This Row],[Cantidad]]*Tabla15[[#This Row],[Precio Unitario]]</f>
        <v>5946.75</v>
      </c>
    </row>
    <row r="15" spans="5:9" x14ac:dyDescent="0.25">
      <c r="E15" s="4">
        <v>8</v>
      </c>
      <c r="F15" s="16" t="s">
        <v>13</v>
      </c>
      <c r="G15" s="5">
        <v>1</v>
      </c>
      <c r="H15" s="6">
        <v>11500</v>
      </c>
      <c r="I15" s="7">
        <f>Tabla15[[#This Row],[Cantidad]]*Tabla15[[#This Row],[Precio Unitario]]</f>
        <v>11500</v>
      </c>
    </row>
    <row r="16" spans="5:9" x14ac:dyDescent="0.25">
      <c r="E16" s="4">
        <v>9</v>
      </c>
      <c r="F16" s="16" t="s">
        <v>14</v>
      </c>
      <c r="G16" s="5">
        <v>1</v>
      </c>
      <c r="H16" s="6">
        <v>2800</v>
      </c>
      <c r="I16" s="7">
        <f>Tabla15[[#This Row],[Cantidad]]*Tabla15[[#This Row],[Precio Unitario]]</f>
        <v>2800</v>
      </c>
    </row>
    <row r="17" spans="5:9" x14ac:dyDescent="0.25">
      <c r="E17" s="4">
        <v>10</v>
      </c>
      <c r="F17" s="16" t="s">
        <v>15</v>
      </c>
      <c r="G17" s="5">
        <v>2</v>
      </c>
      <c r="H17" s="6">
        <v>182000</v>
      </c>
      <c r="I17" s="7">
        <f>Tabla15[[#This Row],[Cantidad]]*Tabla15[[#This Row],[Precio Unitario]]</f>
        <v>364000</v>
      </c>
    </row>
    <row r="18" spans="5:9" x14ac:dyDescent="0.25">
      <c r="E18" s="4">
        <v>11</v>
      </c>
      <c r="F18" s="16" t="s">
        <v>16</v>
      </c>
      <c r="G18" s="5">
        <v>1</v>
      </c>
      <c r="H18" s="6">
        <v>10990</v>
      </c>
      <c r="I18" s="7">
        <f>Tabla15[[#This Row],[Cantidad]]*Tabla15[[#This Row],[Precio Unitario]]</f>
        <v>10990</v>
      </c>
    </row>
    <row r="19" spans="5:9" x14ac:dyDescent="0.25">
      <c r="E19" s="4">
        <v>12</v>
      </c>
      <c r="F19" s="16" t="s">
        <v>17</v>
      </c>
      <c r="G19" s="5">
        <v>1</v>
      </c>
      <c r="H19" s="6">
        <v>1200</v>
      </c>
      <c r="I19" s="7">
        <f>Tabla15[[#This Row],[Cantidad]]*Tabla15[[#This Row],[Precio Unitario]]</f>
        <v>1200</v>
      </c>
    </row>
    <row r="20" spans="5:9" x14ac:dyDescent="0.25">
      <c r="E20" s="8">
        <v>13</v>
      </c>
      <c r="F20" s="17" t="s">
        <v>18</v>
      </c>
      <c r="G20" s="9">
        <v>2</v>
      </c>
      <c r="H20" s="10">
        <v>1500</v>
      </c>
      <c r="I20" s="7">
        <f>Tabla15[[#This Row],[Cantidad]]*Tabla15[[#This Row],[Precio Unitario]]</f>
        <v>3000</v>
      </c>
    </row>
    <row r="21" spans="5:9" x14ac:dyDescent="0.25">
      <c r="E21" s="8">
        <v>14</v>
      </c>
      <c r="F21" s="17" t="s">
        <v>19</v>
      </c>
      <c r="G21" s="5">
        <v>4</v>
      </c>
      <c r="H21" s="6">
        <v>1500</v>
      </c>
      <c r="I21" s="7">
        <f>Tabla15[[#This Row],[Cantidad]]*Tabla15[[#This Row],[Precio Unitario]]</f>
        <v>6000</v>
      </c>
    </row>
    <row r="22" spans="5:9" x14ac:dyDescent="0.25">
      <c r="E22" s="8">
        <v>15</v>
      </c>
      <c r="F22" s="17" t="s">
        <v>20</v>
      </c>
      <c r="G22" s="9">
        <v>1</v>
      </c>
      <c r="H22" s="10">
        <v>23720</v>
      </c>
      <c r="I22" s="7">
        <f>Tabla15[[#This Row],[Cantidad]]*Tabla15[[#This Row],[Precio Unitario]]</f>
        <v>23720</v>
      </c>
    </row>
    <row r="23" spans="5:9" x14ac:dyDescent="0.25">
      <c r="E23" s="8">
        <v>16</v>
      </c>
      <c r="F23" s="16" t="s">
        <v>21</v>
      </c>
      <c r="G23" s="5">
        <v>1</v>
      </c>
      <c r="H23" s="6">
        <v>10672</v>
      </c>
      <c r="I23" s="7">
        <f>Tabla15[[#This Row],[Cantidad]]*Tabla15[[#This Row],[Precio Unitario]]</f>
        <v>10672</v>
      </c>
    </row>
    <row r="24" spans="5:9" x14ac:dyDescent="0.25">
      <c r="E24" s="8">
        <v>17</v>
      </c>
      <c r="F24" s="16" t="s">
        <v>22</v>
      </c>
      <c r="G24" s="5">
        <v>1</v>
      </c>
      <c r="H24" s="6">
        <v>5350</v>
      </c>
      <c r="I24" s="7">
        <f>Tabla15[[#This Row],[Cantidad]]*Tabla15[[#This Row],[Precio Unitario]]</f>
        <v>5350</v>
      </c>
    </row>
    <row r="25" spans="5:9" x14ac:dyDescent="0.25">
      <c r="E25" s="8">
        <v>18</v>
      </c>
      <c r="F25" s="16" t="s">
        <v>23</v>
      </c>
      <c r="G25" s="5">
        <v>4</v>
      </c>
      <c r="H25" s="6">
        <v>10290</v>
      </c>
      <c r="I25" s="7">
        <f>Tabla15[[#This Row],[Cantidad]]*Tabla15[[#This Row],[Precio Unitario]]</f>
        <v>41160</v>
      </c>
    </row>
    <row r="26" spans="5:9" x14ac:dyDescent="0.25">
      <c r="E26" s="8">
        <v>19</v>
      </c>
      <c r="F26" s="16" t="s">
        <v>24</v>
      </c>
      <c r="G26" s="5">
        <v>4</v>
      </c>
      <c r="H26" s="6">
        <v>2500</v>
      </c>
      <c r="I26" s="7">
        <f>Tabla15[[#This Row],[Cantidad]]*Tabla15[[#This Row],[Precio Unitario]]</f>
        <v>10000</v>
      </c>
    </row>
    <row r="27" spans="5:9" x14ac:dyDescent="0.25">
      <c r="E27" s="8">
        <v>20</v>
      </c>
      <c r="F27" s="16" t="s">
        <v>25</v>
      </c>
      <c r="G27" s="5">
        <v>1</v>
      </c>
      <c r="H27" s="6">
        <v>29780</v>
      </c>
      <c r="I27" s="7">
        <f>Tabla15[[#This Row],[Cantidad]]*Tabla15[[#This Row],[Precio Unitario]]</f>
        <v>29780</v>
      </c>
    </row>
    <row r="28" spans="5:9" x14ac:dyDescent="0.25">
      <c r="E28" s="8">
        <v>21</v>
      </c>
      <c r="F28" s="16" t="s">
        <v>26</v>
      </c>
      <c r="G28" s="5">
        <v>1</v>
      </c>
      <c r="H28" s="6">
        <v>145990</v>
      </c>
      <c r="I28" s="7">
        <f>Tabla15[[#This Row],[Cantidad]]*Tabla15[[#This Row],[Precio Unitario]]</f>
        <v>145990</v>
      </c>
    </row>
    <row r="29" spans="5:9" x14ac:dyDescent="0.25">
      <c r="E29" s="8">
        <v>22</v>
      </c>
      <c r="F29" s="16" t="s">
        <v>27</v>
      </c>
      <c r="G29" s="5">
        <v>1</v>
      </c>
      <c r="H29" s="6">
        <v>1850</v>
      </c>
      <c r="I29" s="7">
        <f>Tabla15[[#This Row],[Cantidad]]*Tabla15[[#This Row],[Precio Unitario]]</f>
        <v>1850</v>
      </c>
    </row>
    <row r="30" spans="5:9" x14ac:dyDescent="0.25">
      <c r="E30" s="8">
        <v>23</v>
      </c>
      <c r="F30" s="16" t="s">
        <v>28</v>
      </c>
      <c r="G30" s="5">
        <v>1</v>
      </c>
      <c r="H30" s="6">
        <v>2850</v>
      </c>
      <c r="I30" s="7">
        <f>Tabla15[[#This Row],[Cantidad]]*Tabla15[[#This Row],[Precio Unitario]]</f>
        <v>2850</v>
      </c>
    </row>
    <row r="31" spans="5:9" x14ac:dyDescent="0.25">
      <c r="E31" s="8">
        <v>24</v>
      </c>
      <c r="F31" s="16" t="s">
        <v>29</v>
      </c>
      <c r="G31" s="5">
        <v>1</v>
      </c>
      <c r="H31" s="6">
        <v>5000</v>
      </c>
      <c r="I31" s="7">
        <f>Tabla15[[#This Row],[Cantidad]]*Tabla15[[#This Row],[Precio Unitario]]</f>
        <v>5000</v>
      </c>
    </row>
    <row r="32" spans="5:9" x14ac:dyDescent="0.25">
      <c r="E32" s="8">
        <v>25</v>
      </c>
      <c r="F32" s="16" t="s">
        <v>30</v>
      </c>
      <c r="G32" s="5">
        <v>1</v>
      </c>
      <c r="H32" s="6">
        <v>5600</v>
      </c>
      <c r="I32" s="7">
        <f>Tabla15[[#This Row],[Cantidad]]*Tabla15[[#This Row],[Precio Unitario]]</f>
        <v>5600</v>
      </c>
    </row>
    <row r="33" spans="5:9" x14ac:dyDescent="0.25">
      <c r="E33" s="8">
        <v>26</v>
      </c>
      <c r="F33" s="16" t="s">
        <v>31</v>
      </c>
      <c r="G33" s="5">
        <v>1</v>
      </c>
      <c r="H33" s="6">
        <v>990</v>
      </c>
      <c r="I33" s="7">
        <f>Tabla15[[#This Row],[Cantidad]]*Tabla15[[#This Row],[Precio Unitario]]</f>
        <v>990</v>
      </c>
    </row>
    <row r="34" spans="5:9" x14ac:dyDescent="0.25">
      <c r="E34" s="8">
        <v>27</v>
      </c>
      <c r="F34" s="16" t="s">
        <v>32</v>
      </c>
      <c r="G34" s="5">
        <v>1</v>
      </c>
      <c r="H34" s="6">
        <v>3600</v>
      </c>
      <c r="I34" s="7">
        <f>Tabla15[[#This Row],[Cantidad]]*Tabla15[[#This Row],[Precio Unitario]]</f>
        <v>3600</v>
      </c>
    </row>
    <row r="35" spans="5:9" x14ac:dyDescent="0.25">
      <c r="E35" s="8">
        <v>28</v>
      </c>
      <c r="F35" s="16" t="s">
        <v>33</v>
      </c>
      <c r="G35" s="5">
        <v>1</v>
      </c>
      <c r="H35" s="6">
        <v>12480</v>
      </c>
      <c r="I35" s="7">
        <f>Tabla15[[#This Row],[Cantidad]]*Tabla15[[#This Row],[Precio Unitario]]</f>
        <v>12480</v>
      </c>
    </row>
    <row r="36" spans="5:9" ht="15.75" thickBot="1" x14ac:dyDescent="0.3"/>
    <row r="37" spans="5:9" ht="15.75" thickBot="1" x14ac:dyDescent="0.3">
      <c r="H37" s="11" t="s">
        <v>34</v>
      </c>
      <c r="I37" s="12">
        <f>SUM(Tabla15[Total])</f>
        <v>730078.75</v>
      </c>
    </row>
  </sheetData>
  <mergeCells count="1">
    <mergeCell ref="E5:I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Maturana Zuñiga</dc:creator>
  <cp:lastModifiedBy>Martin Maturana Zuñiga</cp:lastModifiedBy>
  <dcterms:created xsi:type="dcterms:W3CDTF">2026-09-01T22:11:17Z</dcterms:created>
  <dcterms:modified xsi:type="dcterms:W3CDTF">2026-09-18T03:27:16Z</dcterms:modified>
</cp:coreProperties>
</file>